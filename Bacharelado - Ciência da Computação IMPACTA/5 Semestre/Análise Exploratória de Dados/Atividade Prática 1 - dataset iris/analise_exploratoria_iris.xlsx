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\dev\Bacharelado - Ciência da Computação IMPACTA\5 Semestre\Análise Exploratória de Dados\Atividade Prática 1 - dataset iris\"/>
    </mc:Choice>
  </mc:AlternateContent>
  <xr:revisionPtr revIDLastSave="0" documentId="13_ncr:1_{30A2D1FD-AF4A-4D36-91C6-7B007C9CCAA8}" xr6:coauthVersionLast="47" xr6:coauthVersionMax="47" xr10:uidLastSave="{00000000-0000-0000-0000-000000000000}"/>
  <bookViews>
    <workbookView xWindow="-120" yWindow="-120" windowWidth="25440" windowHeight="15990" activeTab="1" xr2:uid="{B4897A10-BDA1-46D3-9F80-A9497B8F36FD}"/>
  </bookViews>
  <sheets>
    <sheet name="iris" sheetId="1" r:id="rId1"/>
    <sheet name="Análise do Dataset Ir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 a="1"/>
  <c r="F3" i="2" s="1"/>
  <c r="D22" i="2"/>
  <c r="D21" i="2"/>
  <c r="D20" i="2"/>
  <c r="D38" i="2"/>
  <c r="D37" i="2"/>
  <c r="D36" i="2"/>
  <c r="D35" i="2"/>
  <c r="C16" i="2" a="1"/>
  <c r="C16" i="2" s="1"/>
  <c r="C23" i="2" a="1"/>
  <c r="C23" i="2" s="1"/>
  <c r="C35" i="2" a="1"/>
  <c r="C35" i="2" s="1"/>
  <c r="C31" i="2" a="1"/>
  <c r="C31" i="2" s="1"/>
  <c r="D34" i="2"/>
  <c r="D33" i="2"/>
  <c r="D32" i="2"/>
  <c r="D19" i="2"/>
  <c r="D18" i="2"/>
  <c r="D17" i="2"/>
  <c r="D31" i="2"/>
  <c r="D26" i="2"/>
  <c r="D25" i="2"/>
  <c r="D24" i="2"/>
  <c r="D23" i="2"/>
  <c r="D16" i="2"/>
  <c r="D9" i="2"/>
  <c r="D8" i="2"/>
  <c r="D12" i="2" s="1"/>
  <c r="D15" i="2" s="1"/>
  <c r="D7" i="2"/>
  <c r="D11" i="2" s="1"/>
  <c r="D14" i="2" s="1"/>
  <c r="D6" i="2"/>
  <c r="D10" i="2" s="1"/>
  <c r="D13" i="2" s="1"/>
  <c r="D3" i="2" a="1"/>
  <c r="D3" i="2" s="1"/>
  <c r="G4" i="2"/>
  <c r="G5" i="2"/>
  <c r="G6" i="2"/>
  <c r="G7" i="2"/>
  <c r="G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<sst xmlns="http://schemas.openxmlformats.org/spreadsheetml/2006/main" count="708" uniqueCount="90">
  <si>
    <t>Sepal.Length</t>
  </si>
  <si>
    <t>Sepal.Width</t>
  </si>
  <si>
    <t>Petal.Length</t>
  </si>
  <si>
    <t>Petal.Width</t>
  </si>
  <si>
    <t>Species</t>
  </si>
  <si>
    <t>5.1</t>
  </si>
  <si>
    <t>3.5</t>
  </si>
  <si>
    <t>1.4</t>
  </si>
  <si>
    <t>0.2</t>
  </si>
  <si>
    <t>setosa</t>
  </si>
  <si>
    <t>4.9</t>
  </si>
  <si>
    <t>4.7</t>
  </si>
  <si>
    <t>3.2</t>
  </si>
  <si>
    <t>1.3</t>
  </si>
  <si>
    <t>4.6</t>
  </si>
  <si>
    <t>3.1</t>
  </si>
  <si>
    <t>1.5</t>
  </si>
  <si>
    <t>3.6</t>
  </si>
  <si>
    <t>5.4</t>
  </si>
  <si>
    <t>3.9</t>
  </si>
  <si>
    <t>1.7</t>
  </si>
  <si>
    <t>0.4</t>
  </si>
  <si>
    <t>3.4</t>
  </si>
  <si>
    <t>0.3</t>
  </si>
  <si>
    <t>4.4</t>
  </si>
  <si>
    <t>2.9</t>
  </si>
  <si>
    <t>0.1</t>
  </si>
  <si>
    <t>3.7</t>
  </si>
  <si>
    <t>4.8</t>
  </si>
  <si>
    <t>1.6</t>
  </si>
  <si>
    <t>4.3</t>
  </si>
  <si>
    <t>1.1</t>
  </si>
  <si>
    <t>5.8</t>
  </si>
  <si>
    <t>1.2</t>
  </si>
  <si>
    <t>5.7</t>
  </si>
  <si>
    <t>3.8</t>
  </si>
  <si>
    <t>3.3</t>
  </si>
  <si>
    <t>0.5</t>
  </si>
  <si>
    <t>1.9</t>
  </si>
  <si>
    <t>5.2</t>
  </si>
  <si>
    <t>4.1</t>
  </si>
  <si>
    <t>5.5</t>
  </si>
  <si>
    <t>4.2</t>
  </si>
  <si>
    <t>4.5</t>
  </si>
  <si>
    <t>2.3</t>
  </si>
  <si>
    <t>0.6</t>
  </si>
  <si>
    <t>5.3</t>
  </si>
  <si>
    <t>versicolor</t>
  </si>
  <si>
    <t>6.4</t>
  </si>
  <si>
    <t>6.9</t>
  </si>
  <si>
    <t>6.5</t>
  </si>
  <si>
    <t>2.8</t>
  </si>
  <si>
    <t>6.3</t>
  </si>
  <si>
    <t>2.4</t>
  </si>
  <si>
    <t>6.6</t>
  </si>
  <si>
    <t>2.7</t>
  </si>
  <si>
    <t>5.9</t>
  </si>
  <si>
    <t>2.2</t>
  </si>
  <si>
    <t>6.1</t>
  </si>
  <si>
    <t>5.6</t>
  </si>
  <si>
    <t>6.7</t>
  </si>
  <si>
    <t>6.2</t>
  </si>
  <si>
    <t>2.5</t>
  </si>
  <si>
    <t>1.8</t>
  </si>
  <si>
    <t>6.8</t>
  </si>
  <si>
    <t>2.6</t>
  </si>
  <si>
    <t>virginica</t>
  </si>
  <si>
    <t>7.1</t>
  </si>
  <si>
    <t>2.1</t>
  </si>
  <si>
    <t>7.6</t>
  </si>
  <si>
    <t>7.3</t>
  </si>
  <si>
    <t>7.2</t>
  </si>
  <si>
    <t>7.7</t>
  </si>
  <si>
    <t>7.4</t>
  </si>
  <si>
    <t>7.9</t>
  </si>
  <si>
    <t>Análise do Conjunto de Dados Iris</t>
  </si>
  <si>
    <t>Categorias Unicas:</t>
  </si>
  <si>
    <t>Frequência Absoluta:</t>
  </si>
  <si>
    <t>Total de Linhas:</t>
  </si>
  <si>
    <t>Frequência Relativa:</t>
  </si>
  <si>
    <t>Frequência Relativa (em porcentagem %):</t>
  </si>
  <si>
    <t>Média</t>
  </si>
  <si>
    <t>Fórmula: AVERAGE = Média.</t>
  </si>
  <si>
    <t>Fórmula: MEDIAN = Mediana.</t>
  </si>
  <si>
    <t>Fórmula: STDEV.S
ST → Standard
DEV → Deviation
S → Sample
Standard Deviation (Sample)
Desvio padrão amostral</t>
  </si>
  <si>
    <t>Fórmula: VAR.S
VAR → Variance
S → Sample
Variância amostral</t>
  </si>
  <si>
    <t>Média Total</t>
  </si>
  <si>
    <t>Mediana Total</t>
  </si>
  <si>
    <t>Desvio padrão Total</t>
  </si>
  <si>
    <t>Variância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</si>
</sst>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2CEE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10" fontId="3" fillId="7" borderId="1" xfId="0" applyNumberFormat="1" applyFont="1" applyFill="1" applyBorder="1" applyAlignment="1">
      <alignment horizontal="center" vertical="center"/>
    </xf>
    <xf numFmtId="10" fontId="3" fillId="8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134086</xdr:colOff>
      <xdr:row>30</xdr:row>
      <xdr:rowOff>133350</xdr:rowOff>
    </xdr:from>
    <xdr:to>
      <xdr:col>6</xdr:col>
      <xdr:colOff>881808</xdr:colOff>
      <xdr:row>33</xdr:row>
      <xdr:rowOff>123903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1EEB1-056D-6E6B-CBF4-2CD048935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6932" y="5335465"/>
          <a:ext cx="1549861" cy="562053"/>
        </a:xfrm>
        <a:prstGeom prst="rect">
          <a:avLst/>
        </a:prstGeom>
      </xdr:spPr>
    </xdr:pic>
    <xdr:clientData/>
  </xdr:twoCellAnchor>
  <xdr:twoCellAnchor editAs="oneCell">
    <xdr:from>
      <xdr:col>5</xdr:col>
      <xdr:colOff>140426</xdr:colOff>
      <xdr:row>34</xdr:row>
      <xdr:rowOff>71805</xdr:rowOff>
    </xdr:from>
    <xdr:to>
      <xdr:col>6</xdr:col>
      <xdr:colOff>875468</xdr:colOff>
      <xdr:row>37</xdr:row>
      <xdr:rowOff>30746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76E795-FB87-C33E-79CF-C791A47D1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3272" y="6035920"/>
          <a:ext cx="1537181" cy="530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8352-996F-4924-958C-5F95E10577E8}">
  <dimension ref="A1:E151"/>
  <sheetViews>
    <sheetView workbookViewId="0">
      <pane ySplit="1" topLeftCell="A2" activePane="bottomLeft" state="frozen"/>
      <selection pane="bottomLeft" activeCell="H4" sqref="H4"/>
    </sheetView>
  </sheetViews>
  <sheetFormatPr defaultRowHeight="15" x14ac:dyDescent="0.25"/>
  <cols>
    <col min="1" max="1" width="11.7109375" bestFit="1" customWidth="1"/>
    <col min="2" max="3" width="11.28515625" bestFit="1" customWidth="1"/>
    <col min="4" max="4" width="10.7109375" bestFit="1" customWidth="1"/>
    <col min="5" max="5" width="9.42578125" bestFit="1" customWidth="1"/>
  </cols>
  <sheetData>
    <row r="1" spans="1:5" ht="30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25">
      <c r="A3" s="2" t="s">
        <v>10</v>
      </c>
      <c r="B3" s="2">
        <v>3</v>
      </c>
      <c r="C3" s="2" t="s">
        <v>7</v>
      </c>
      <c r="D3" s="2" t="s">
        <v>8</v>
      </c>
      <c r="E3" s="2" t="s">
        <v>9</v>
      </c>
    </row>
    <row r="4" spans="1:5" ht="15" customHeight="1" x14ac:dyDescent="0.25">
      <c r="A4" s="2" t="s">
        <v>11</v>
      </c>
      <c r="B4" s="2" t="s">
        <v>12</v>
      </c>
      <c r="C4" s="2" t="s">
        <v>13</v>
      </c>
      <c r="D4" s="2" t="s">
        <v>8</v>
      </c>
      <c r="E4" s="2" t="s">
        <v>9</v>
      </c>
    </row>
    <row r="5" spans="1:5" ht="15" customHeight="1" x14ac:dyDescent="0.25">
      <c r="A5" s="2" t="s">
        <v>14</v>
      </c>
      <c r="B5" s="2" t="s">
        <v>15</v>
      </c>
      <c r="C5" s="2" t="s">
        <v>16</v>
      </c>
      <c r="D5" s="2" t="s">
        <v>8</v>
      </c>
      <c r="E5" s="2" t="s">
        <v>9</v>
      </c>
    </row>
    <row r="6" spans="1:5" ht="15" customHeight="1" x14ac:dyDescent="0.25">
      <c r="A6" s="2">
        <v>5</v>
      </c>
      <c r="B6" s="2" t="s">
        <v>17</v>
      </c>
      <c r="C6" s="2" t="s">
        <v>7</v>
      </c>
      <c r="D6" s="2" t="s">
        <v>8</v>
      </c>
      <c r="E6" s="2" t="s">
        <v>9</v>
      </c>
    </row>
    <row r="7" spans="1:5" ht="15" customHeight="1" x14ac:dyDescent="0.25">
      <c r="A7" s="2" t="s">
        <v>18</v>
      </c>
      <c r="B7" s="2" t="s">
        <v>19</v>
      </c>
      <c r="C7" s="2" t="s">
        <v>20</v>
      </c>
      <c r="D7" s="2" t="s">
        <v>21</v>
      </c>
      <c r="E7" s="2" t="s">
        <v>9</v>
      </c>
    </row>
    <row r="8" spans="1:5" ht="15" customHeight="1" x14ac:dyDescent="0.25">
      <c r="A8" s="2" t="s">
        <v>14</v>
      </c>
      <c r="B8" s="2" t="s">
        <v>22</v>
      </c>
      <c r="C8" s="2" t="s">
        <v>7</v>
      </c>
      <c r="D8" s="2" t="s">
        <v>23</v>
      </c>
      <c r="E8" s="2" t="s">
        <v>9</v>
      </c>
    </row>
    <row r="9" spans="1:5" ht="15" customHeight="1" x14ac:dyDescent="0.25">
      <c r="A9" s="2">
        <v>5</v>
      </c>
      <c r="B9" s="2" t="s">
        <v>22</v>
      </c>
      <c r="C9" s="2" t="s">
        <v>16</v>
      </c>
      <c r="D9" s="2" t="s">
        <v>8</v>
      </c>
      <c r="E9" s="2" t="s">
        <v>9</v>
      </c>
    </row>
    <row r="10" spans="1:5" ht="15" customHeight="1" x14ac:dyDescent="0.25">
      <c r="A10" s="2" t="s">
        <v>24</v>
      </c>
      <c r="B10" s="2" t="s">
        <v>25</v>
      </c>
      <c r="C10" s="2" t="s">
        <v>7</v>
      </c>
      <c r="D10" s="2" t="s">
        <v>8</v>
      </c>
      <c r="E10" s="2" t="s">
        <v>9</v>
      </c>
    </row>
    <row r="11" spans="1:5" ht="15" customHeight="1" x14ac:dyDescent="0.25">
      <c r="A11" s="2" t="s">
        <v>10</v>
      </c>
      <c r="B11" s="2" t="s">
        <v>15</v>
      </c>
      <c r="C11" s="2" t="s">
        <v>16</v>
      </c>
      <c r="D11" s="2" t="s">
        <v>26</v>
      </c>
      <c r="E11" s="2" t="s">
        <v>9</v>
      </c>
    </row>
    <row r="12" spans="1:5" ht="15" customHeight="1" x14ac:dyDescent="0.25">
      <c r="A12" s="2" t="s">
        <v>18</v>
      </c>
      <c r="B12" s="2" t="s">
        <v>27</v>
      </c>
      <c r="C12" s="2" t="s">
        <v>16</v>
      </c>
      <c r="D12" s="2" t="s">
        <v>8</v>
      </c>
      <c r="E12" s="2" t="s">
        <v>9</v>
      </c>
    </row>
    <row r="13" spans="1:5" ht="15" customHeight="1" x14ac:dyDescent="0.25">
      <c r="A13" s="2" t="s">
        <v>28</v>
      </c>
      <c r="B13" s="2" t="s">
        <v>22</v>
      </c>
      <c r="C13" s="2" t="s">
        <v>29</v>
      </c>
      <c r="D13" s="2" t="s">
        <v>8</v>
      </c>
      <c r="E13" s="2" t="s">
        <v>9</v>
      </c>
    </row>
    <row r="14" spans="1:5" ht="15" customHeight="1" x14ac:dyDescent="0.25">
      <c r="A14" s="2" t="s">
        <v>28</v>
      </c>
      <c r="B14" s="2">
        <v>3</v>
      </c>
      <c r="C14" s="2" t="s">
        <v>7</v>
      </c>
      <c r="D14" s="2" t="s">
        <v>26</v>
      </c>
      <c r="E14" s="2" t="s">
        <v>9</v>
      </c>
    </row>
    <row r="15" spans="1:5" ht="15" customHeight="1" x14ac:dyDescent="0.25">
      <c r="A15" s="2" t="s">
        <v>30</v>
      </c>
      <c r="B15" s="2">
        <v>3</v>
      </c>
      <c r="C15" s="2" t="s">
        <v>31</v>
      </c>
      <c r="D15" s="2" t="s">
        <v>26</v>
      </c>
      <c r="E15" s="2" t="s">
        <v>9</v>
      </c>
    </row>
    <row r="16" spans="1:5" ht="15" customHeight="1" x14ac:dyDescent="0.25">
      <c r="A16" s="2" t="s">
        <v>32</v>
      </c>
      <c r="B16" s="2">
        <v>4</v>
      </c>
      <c r="C16" s="2" t="s">
        <v>33</v>
      </c>
      <c r="D16" s="2" t="s">
        <v>8</v>
      </c>
      <c r="E16" s="2" t="s">
        <v>9</v>
      </c>
    </row>
    <row r="17" spans="1:5" ht="15" customHeight="1" x14ac:dyDescent="0.25">
      <c r="A17" s="2" t="s">
        <v>34</v>
      </c>
      <c r="B17" s="2" t="s">
        <v>24</v>
      </c>
      <c r="C17" s="2" t="s">
        <v>16</v>
      </c>
      <c r="D17" s="2" t="s">
        <v>21</v>
      </c>
      <c r="E17" s="2" t="s">
        <v>9</v>
      </c>
    </row>
    <row r="18" spans="1:5" ht="15" customHeight="1" x14ac:dyDescent="0.25">
      <c r="A18" s="2" t="s">
        <v>18</v>
      </c>
      <c r="B18" s="2" t="s">
        <v>19</v>
      </c>
      <c r="C18" s="2" t="s">
        <v>13</v>
      </c>
      <c r="D18" s="2" t="s">
        <v>21</v>
      </c>
      <c r="E18" s="2" t="s">
        <v>9</v>
      </c>
    </row>
    <row r="19" spans="1:5" ht="15" customHeight="1" x14ac:dyDescent="0.25">
      <c r="A19" s="2" t="s">
        <v>5</v>
      </c>
      <c r="B19" s="2" t="s">
        <v>6</v>
      </c>
      <c r="C19" s="2" t="s">
        <v>7</v>
      </c>
      <c r="D19" s="2" t="s">
        <v>23</v>
      </c>
      <c r="E19" s="2" t="s">
        <v>9</v>
      </c>
    </row>
    <row r="20" spans="1:5" ht="15" customHeight="1" x14ac:dyDescent="0.25">
      <c r="A20" s="2" t="s">
        <v>34</v>
      </c>
      <c r="B20" s="2" t="s">
        <v>35</v>
      </c>
      <c r="C20" s="2" t="s">
        <v>20</v>
      </c>
      <c r="D20" s="2" t="s">
        <v>23</v>
      </c>
      <c r="E20" s="2" t="s">
        <v>9</v>
      </c>
    </row>
    <row r="21" spans="1:5" ht="15" customHeight="1" x14ac:dyDescent="0.25">
      <c r="A21" s="2" t="s">
        <v>5</v>
      </c>
      <c r="B21" s="2" t="s">
        <v>35</v>
      </c>
      <c r="C21" s="2" t="s">
        <v>16</v>
      </c>
      <c r="D21" s="2" t="s">
        <v>23</v>
      </c>
      <c r="E21" s="2" t="s">
        <v>9</v>
      </c>
    </row>
    <row r="22" spans="1:5" ht="15" customHeight="1" x14ac:dyDescent="0.25">
      <c r="A22" s="2" t="s">
        <v>18</v>
      </c>
      <c r="B22" s="2" t="s">
        <v>22</v>
      </c>
      <c r="C22" s="2" t="s">
        <v>20</v>
      </c>
      <c r="D22" s="2" t="s">
        <v>8</v>
      </c>
      <c r="E22" s="2" t="s">
        <v>9</v>
      </c>
    </row>
    <row r="23" spans="1:5" ht="15" customHeight="1" x14ac:dyDescent="0.25">
      <c r="A23" s="2" t="s">
        <v>5</v>
      </c>
      <c r="B23" s="2" t="s">
        <v>27</v>
      </c>
      <c r="C23" s="2" t="s">
        <v>16</v>
      </c>
      <c r="D23" s="2" t="s">
        <v>21</v>
      </c>
      <c r="E23" s="2" t="s">
        <v>9</v>
      </c>
    </row>
    <row r="24" spans="1:5" ht="15" customHeight="1" x14ac:dyDescent="0.25">
      <c r="A24" s="2" t="s">
        <v>14</v>
      </c>
      <c r="B24" s="2" t="s">
        <v>17</v>
      </c>
      <c r="C24" s="2">
        <v>1</v>
      </c>
      <c r="D24" s="2" t="s">
        <v>8</v>
      </c>
      <c r="E24" s="2" t="s">
        <v>9</v>
      </c>
    </row>
    <row r="25" spans="1:5" ht="15" customHeight="1" x14ac:dyDescent="0.25">
      <c r="A25" s="2" t="s">
        <v>5</v>
      </c>
      <c r="B25" s="2" t="s">
        <v>36</v>
      </c>
      <c r="C25" s="2" t="s">
        <v>20</v>
      </c>
      <c r="D25" s="2" t="s">
        <v>37</v>
      </c>
      <c r="E25" s="2" t="s">
        <v>9</v>
      </c>
    </row>
    <row r="26" spans="1:5" ht="15" customHeight="1" x14ac:dyDescent="0.25">
      <c r="A26" s="2" t="s">
        <v>28</v>
      </c>
      <c r="B26" s="2" t="s">
        <v>22</v>
      </c>
      <c r="C26" s="2" t="s">
        <v>38</v>
      </c>
      <c r="D26" s="2" t="s">
        <v>8</v>
      </c>
      <c r="E26" s="2" t="s">
        <v>9</v>
      </c>
    </row>
    <row r="27" spans="1:5" ht="15" customHeight="1" x14ac:dyDescent="0.25">
      <c r="A27" s="2">
        <v>5</v>
      </c>
      <c r="B27" s="2">
        <v>3</v>
      </c>
      <c r="C27" s="2" t="s">
        <v>29</v>
      </c>
      <c r="D27" s="2" t="s">
        <v>8</v>
      </c>
      <c r="E27" s="2" t="s">
        <v>9</v>
      </c>
    </row>
    <row r="28" spans="1:5" ht="15" customHeight="1" x14ac:dyDescent="0.25">
      <c r="A28" s="2">
        <v>5</v>
      </c>
      <c r="B28" s="2" t="s">
        <v>22</v>
      </c>
      <c r="C28" s="2" t="s">
        <v>29</v>
      </c>
      <c r="D28" s="2" t="s">
        <v>21</v>
      </c>
      <c r="E28" s="2" t="s">
        <v>9</v>
      </c>
    </row>
    <row r="29" spans="1:5" ht="15" customHeight="1" x14ac:dyDescent="0.25">
      <c r="A29" s="2" t="s">
        <v>39</v>
      </c>
      <c r="B29" s="2" t="s">
        <v>6</v>
      </c>
      <c r="C29" s="2" t="s">
        <v>16</v>
      </c>
      <c r="D29" s="2" t="s">
        <v>8</v>
      </c>
      <c r="E29" s="2" t="s">
        <v>9</v>
      </c>
    </row>
    <row r="30" spans="1:5" ht="15" customHeight="1" x14ac:dyDescent="0.25">
      <c r="A30" s="2" t="s">
        <v>39</v>
      </c>
      <c r="B30" s="2" t="s">
        <v>22</v>
      </c>
      <c r="C30" s="2" t="s">
        <v>7</v>
      </c>
      <c r="D30" s="2" t="s">
        <v>8</v>
      </c>
      <c r="E30" s="2" t="s">
        <v>9</v>
      </c>
    </row>
    <row r="31" spans="1:5" ht="15" customHeight="1" x14ac:dyDescent="0.25">
      <c r="A31" s="2" t="s">
        <v>11</v>
      </c>
      <c r="B31" s="2" t="s">
        <v>12</v>
      </c>
      <c r="C31" s="2" t="s">
        <v>29</v>
      </c>
      <c r="D31" s="2" t="s">
        <v>8</v>
      </c>
      <c r="E31" s="2" t="s">
        <v>9</v>
      </c>
    </row>
    <row r="32" spans="1:5" ht="15" customHeight="1" x14ac:dyDescent="0.25">
      <c r="A32" s="2" t="s">
        <v>28</v>
      </c>
      <c r="B32" s="2" t="s">
        <v>15</v>
      </c>
      <c r="C32" s="2" t="s">
        <v>29</v>
      </c>
      <c r="D32" s="2" t="s">
        <v>8</v>
      </c>
      <c r="E32" s="2" t="s">
        <v>9</v>
      </c>
    </row>
    <row r="33" spans="1:5" ht="15" customHeight="1" x14ac:dyDescent="0.25">
      <c r="A33" s="2" t="s">
        <v>18</v>
      </c>
      <c r="B33" s="2" t="s">
        <v>22</v>
      </c>
      <c r="C33" s="2" t="s">
        <v>16</v>
      </c>
      <c r="D33" s="2" t="s">
        <v>21</v>
      </c>
      <c r="E33" s="2" t="s">
        <v>9</v>
      </c>
    </row>
    <row r="34" spans="1:5" ht="15" customHeight="1" x14ac:dyDescent="0.25">
      <c r="A34" s="2" t="s">
        <v>39</v>
      </c>
      <c r="B34" s="2" t="s">
        <v>40</v>
      </c>
      <c r="C34" s="2" t="s">
        <v>16</v>
      </c>
      <c r="D34" s="2" t="s">
        <v>26</v>
      </c>
      <c r="E34" s="2" t="s">
        <v>9</v>
      </c>
    </row>
    <row r="35" spans="1:5" ht="15" customHeight="1" x14ac:dyDescent="0.25">
      <c r="A35" s="2" t="s">
        <v>41</v>
      </c>
      <c r="B35" s="2" t="s">
        <v>42</v>
      </c>
      <c r="C35" s="2" t="s">
        <v>7</v>
      </c>
      <c r="D35" s="2" t="s">
        <v>8</v>
      </c>
      <c r="E35" s="2" t="s">
        <v>9</v>
      </c>
    </row>
    <row r="36" spans="1:5" ht="15" customHeight="1" x14ac:dyDescent="0.25">
      <c r="A36" s="2" t="s">
        <v>10</v>
      </c>
      <c r="B36" s="2" t="s">
        <v>15</v>
      </c>
      <c r="C36" s="2" t="s">
        <v>16</v>
      </c>
      <c r="D36" s="2" t="s">
        <v>8</v>
      </c>
      <c r="E36" s="2" t="s">
        <v>9</v>
      </c>
    </row>
    <row r="37" spans="1:5" ht="15" customHeight="1" x14ac:dyDescent="0.25">
      <c r="A37" s="2">
        <v>5</v>
      </c>
      <c r="B37" s="2" t="s">
        <v>12</v>
      </c>
      <c r="C37" s="2" t="s">
        <v>33</v>
      </c>
      <c r="D37" s="2" t="s">
        <v>8</v>
      </c>
      <c r="E37" s="2" t="s">
        <v>9</v>
      </c>
    </row>
    <row r="38" spans="1:5" ht="15" customHeight="1" x14ac:dyDescent="0.25">
      <c r="A38" s="2" t="s">
        <v>41</v>
      </c>
      <c r="B38" s="2" t="s">
        <v>6</v>
      </c>
      <c r="C38" s="2" t="s">
        <v>13</v>
      </c>
      <c r="D38" s="2" t="s">
        <v>8</v>
      </c>
      <c r="E38" s="2" t="s">
        <v>9</v>
      </c>
    </row>
    <row r="39" spans="1:5" ht="15" customHeight="1" x14ac:dyDescent="0.25">
      <c r="A39" s="2" t="s">
        <v>10</v>
      </c>
      <c r="B39" s="2" t="s">
        <v>17</v>
      </c>
      <c r="C39" s="2" t="s">
        <v>7</v>
      </c>
      <c r="D39" s="2" t="s">
        <v>26</v>
      </c>
      <c r="E39" s="2" t="s">
        <v>9</v>
      </c>
    </row>
    <row r="40" spans="1:5" ht="15" customHeight="1" x14ac:dyDescent="0.25">
      <c r="A40" s="2" t="s">
        <v>24</v>
      </c>
      <c r="B40" s="2">
        <v>3</v>
      </c>
      <c r="C40" s="2" t="s">
        <v>13</v>
      </c>
      <c r="D40" s="2" t="s">
        <v>8</v>
      </c>
      <c r="E40" s="2" t="s">
        <v>9</v>
      </c>
    </row>
    <row r="41" spans="1:5" ht="15" customHeight="1" x14ac:dyDescent="0.25">
      <c r="A41" s="2" t="s">
        <v>5</v>
      </c>
      <c r="B41" s="2" t="s">
        <v>22</v>
      </c>
      <c r="C41" s="2" t="s">
        <v>16</v>
      </c>
      <c r="D41" s="2" t="s">
        <v>8</v>
      </c>
      <c r="E41" s="2" t="s">
        <v>9</v>
      </c>
    </row>
    <row r="42" spans="1:5" ht="15" customHeight="1" x14ac:dyDescent="0.25">
      <c r="A42" s="2">
        <v>5</v>
      </c>
      <c r="B42" s="2" t="s">
        <v>6</v>
      </c>
      <c r="C42" s="2" t="s">
        <v>13</v>
      </c>
      <c r="D42" s="2" t="s">
        <v>23</v>
      </c>
      <c r="E42" s="2" t="s">
        <v>9</v>
      </c>
    </row>
    <row r="43" spans="1:5" ht="15" customHeight="1" x14ac:dyDescent="0.25">
      <c r="A43" s="2" t="s">
        <v>43</v>
      </c>
      <c r="B43" s="2" t="s">
        <v>44</v>
      </c>
      <c r="C43" s="2" t="s">
        <v>13</v>
      </c>
      <c r="D43" s="2" t="s">
        <v>23</v>
      </c>
      <c r="E43" s="2" t="s">
        <v>9</v>
      </c>
    </row>
    <row r="44" spans="1:5" ht="15" customHeight="1" x14ac:dyDescent="0.25">
      <c r="A44" s="2" t="s">
        <v>24</v>
      </c>
      <c r="B44" s="2" t="s">
        <v>12</v>
      </c>
      <c r="C44" s="2" t="s">
        <v>13</v>
      </c>
      <c r="D44" s="2" t="s">
        <v>8</v>
      </c>
      <c r="E44" s="2" t="s">
        <v>9</v>
      </c>
    </row>
    <row r="45" spans="1:5" ht="15" customHeight="1" x14ac:dyDescent="0.25">
      <c r="A45" s="2">
        <v>5</v>
      </c>
      <c r="B45" s="2" t="s">
        <v>6</v>
      </c>
      <c r="C45" s="2" t="s">
        <v>29</v>
      </c>
      <c r="D45" s="2" t="s">
        <v>45</v>
      </c>
      <c r="E45" s="2" t="s">
        <v>9</v>
      </c>
    </row>
    <row r="46" spans="1:5" ht="15" customHeight="1" x14ac:dyDescent="0.25">
      <c r="A46" s="2" t="s">
        <v>5</v>
      </c>
      <c r="B46" s="2" t="s">
        <v>35</v>
      </c>
      <c r="C46" s="2" t="s">
        <v>38</v>
      </c>
      <c r="D46" s="2" t="s">
        <v>21</v>
      </c>
      <c r="E46" s="2" t="s">
        <v>9</v>
      </c>
    </row>
    <row r="47" spans="1:5" ht="15" customHeight="1" x14ac:dyDescent="0.25">
      <c r="A47" s="2" t="s">
        <v>28</v>
      </c>
      <c r="B47" s="2">
        <v>3</v>
      </c>
      <c r="C47" s="2" t="s">
        <v>7</v>
      </c>
      <c r="D47" s="2" t="s">
        <v>23</v>
      </c>
      <c r="E47" s="2" t="s">
        <v>9</v>
      </c>
    </row>
    <row r="48" spans="1:5" ht="15" customHeight="1" x14ac:dyDescent="0.25">
      <c r="A48" s="2" t="s">
        <v>5</v>
      </c>
      <c r="B48" s="2" t="s">
        <v>35</v>
      </c>
      <c r="C48" s="2" t="s">
        <v>29</v>
      </c>
      <c r="D48" s="2" t="s">
        <v>8</v>
      </c>
      <c r="E48" s="2" t="s">
        <v>9</v>
      </c>
    </row>
    <row r="49" spans="1:5" ht="15" customHeight="1" x14ac:dyDescent="0.25">
      <c r="A49" s="2" t="s">
        <v>14</v>
      </c>
      <c r="B49" s="2" t="s">
        <v>12</v>
      </c>
      <c r="C49" s="2" t="s">
        <v>7</v>
      </c>
      <c r="D49" s="2" t="s">
        <v>8</v>
      </c>
      <c r="E49" s="2" t="s">
        <v>9</v>
      </c>
    </row>
    <row r="50" spans="1:5" ht="15" customHeight="1" x14ac:dyDescent="0.25">
      <c r="A50" s="2" t="s">
        <v>46</v>
      </c>
      <c r="B50" s="2" t="s">
        <v>27</v>
      </c>
      <c r="C50" s="2" t="s">
        <v>16</v>
      </c>
      <c r="D50" s="2" t="s">
        <v>8</v>
      </c>
      <c r="E50" s="2" t="s">
        <v>9</v>
      </c>
    </row>
    <row r="51" spans="1:5" ht="15" customHeight="1" x14ac:dyDescent="0.25">
      <c r="A51" s="2">
        <v>5</v>
      </c>
      <c r="B51" s="2" t="s">
        <v>36</v>
      </c>
      <c r="C51" s="2" t="s">
        <v>7</v>
      </c>
      <c r="D51" s="2" t="s">
        <v>8</v>
      </c>
      <c r="E51" s="2" t="s">
        <v>9</v>
      </c>
    </row>
    <row r="52" spans="1:5" ht="15" customHeight="1" x14ac:dyDescent="0.25">
      <c r="A52" s="2">
        <v>7</v>
      </c>
      <c r="B52" s="2" t="s">
        <v>12</v>
      </c>
      <c r="C52" s="2" t="s">
        <v>11</v>
      </c>
      <c r="D52" s="2" t="s">
        <v>7</v>
      </c>
      <c r="E52" s="2" t="s">
        <v>47</v>
      </c>
    </row>
    <row r="53" spans="1:5" ht="15" customHeight="1" x14ac:dyDescent="0.25">
      <c r="A53" s="2" t="s">
        <v>48</v>
      </c>
      <c r="B53" s="2" t="s">
        <v>12</v>
      </c>
      <c r="C53" s="2" t="s">
        <v>43</v>
      </c>
      <c r="D53" s="2" t="s">
        <v>16</v>
      </c>
      <c r="E53" s="2" t="s">
        <v>47</v>
      </c>
    </row>
    <row r="54" spans="1:5" ht="15" customHeight="1" x14ac:dyDescent="0.25">
      <c r="A54" s="2" t="s">
        <v>49</v>
      </c>
      <c r="B54" s="2" t="s">
        <v>15</v>
      </c>
      <c r="C54" s="2" t="s">
        <v>10</v>
      </c>
      <c r="D54" s="2" t="s">
        <v>16</v>
      </c>
      <c r="E54" s="2" t="s">
        <v>47</v>
      </c>
    </row>
    <row r="55" spans="1:5" ht="15" customHeight="1" x14ac:dyDescent="0.25">
      <c r="A55" s="2" t="s">
        <v>41</v>
      </c>
      <c r="B55" s="2" t="s">
        <v>44</v>
      </c>
      <c r="C55" s="2">
        <v>4</v>
      </c>
      <c r="D55" s="2" t="s">
        <v>13</v>
      </c>
      <c r="E55" s="2" t="s">
        <v>47</v>
      </c>
    </row>
    <row r="56" spans="1:5" ht="15" customHeight="1" x14ac:dyDescent="0.25">
      <c r="A56" s="2" t="s">
        <v>50</v>
      </c>
      <c r="B56" s="2" t="s">
        <v>51</v>
      </c>
      <c r="C56" s="2" t="s">
        <v>14</v>
      </c>
      <c r="D56" s="2" t="s">
        <v>16</v>
      </c>
      <c r="E56" s="2" t="s">
        <v>47</v>
      </c>
    </row>
    <row r="57" spans="1:5" ht="15" customHeight="1" x14ac:dyDescent="0.25">
      <c r="A57" s="2" t="s">
        <v>34</v>
      </c>
      <c r="B57" s="2" t="s">
        <v>51</v>
      </c>
      <c r="C57" s="2" t="s">
        <v>43</v>
      </c>
      <c r="D57" s="2" t="s">
        <v>13</v>
      </c>
      <c r="E57" s="2" t="s">
        <v>47</v>
      </c>
    </row>
    <row r="58" spans="1:5" ht="15" customHeight="1" x14ac:dyDescent="0.25">
      <c r="A58" s="2" t="s">
        <v>52</v>
      </c>
      <c r="B58" s="2" t="s">
        <v>36</v>
      </c>
      <c r="C58" s="2" t="s">
        <v>11</v>
      </c>
      <c r="D58" s="2" t="s">
        <v>29</v>
      </c>
      <c r="E58" s="2" t="s">
        <v>47</v>
      </c>
    </row>
    <row r="59" spans="1:5" ht="15" customHeight="1" x14ac:dyDescent="0.25">
      <c r="A59" s="2" t="s">
        <v>10</v>
      </c>
      <c r="B59" s="2" t="s">
        <v>53</v>
      </c>
      <c r="C59" s="2" t="s">
        <v>36</v>
      </c>
      <c r="D59" s="2">
        <v>1</v>
      </c>
      <c r="E59" s="2" t="s">
        <v>47</v>
      </c>
    </row>
    <row r="60" spans="1:5" ht="15" customHeight="1" x14ac:dyDescent="0.25">
      <c r="A60" s="2" t="s">
        <v>54</v>
      </c>
      <c r="B60" s="2" t="s">
        <v>25</v>
      </c>
      <c r="C60" s="2" t="s">
        <v>14</v>
      </c>
      <c r="D60" s="2" t="s">
        <v>13</v>
      </c>
      <c r="E60" s="2" t="s">
        <v>47</v>
      </c>
    </row>
    <row r="61" spans="1:5" ht="15" customHeight="1" x14ac:dyDescent="0.25">
      <c r="A61" s="2" t="s">
        <v>39</v>
      </c>
      <c r="B61" s="2" t="s">
        <v>55</v>
      </c>
      <c r="C61" s="2" t="s">
        <v>19</v>
      </c>
      <c r="D61" s="2" t="s">
        <v>7</v>
      </c>
      <c r="E61" s="2" t="s">
        <v>47</v>
      </c>
    </row>
    <row r="62" spans="1:5" ht="15" customHeight="1" x14ac:dyDescent="0.25">
      <c r="A62" s="2">
        <v>5</v>
      </c>
      <c r="B62" s="2">
        <v>2</v>
      </c>
      <c r="C62" s="2" t="s">
        <v>6</v>
      </c>
      <c r="D62" s="2">
        <v>1</v>
      </c>
      <c r="E62" s="2" t="s">
        <v>47</v>
      </c>
    </row>
    <row r="63" spans="1:5" ht="15" customHeight="1" x14ac:dyDescent="0.25">
      <c r="A63" s="2" t="s">
        <v>56</v>
      </c>
      <c r="B63" s="2">
        <v>3</v>
      </c>
      <c r="C63" s="2" t="s">
        <v>42</v>
      </c>
      <c r="D63" s="2" t="s">
        <v>16</v>
      </c>
      <c r="E63" s="2" t="s">
        <v>47</v>
      </c>
    </row>
    <row r="64" spans="1:5" ht="15" customHeight="1" x14ac:dyDescent="0.25">
      <c r="A64" s="2">
        <v>6</v>
      </c>
      <c r="B64" s="2" t="s">
        <v>57</v>
      </c>
      <c r="C64" s="2">
        <v>4</v>
      </c>
      <c r="D64" s="2">
        <v>1</v>
      </c>
      <c r="E64" s="2" t="s">
        <v>47</v>
      </c>
    </row>
    <row r="65" spans="1:5" ht="15" customHeight="1" x14ac:dyDescent="0.25">
      <c r="A65" s="2" t="s">
        <v>58</v>
      </c>
      <c r="B65" s="2" t="s">
        <v>25</v>
      </c>
      <c r="C65" s="2" t="s">
        <v>11</v>
      </c>
      <c r="D65" s="2" t="s">
        <v>7</v>
      </c>
      <c r="E65" s="2" t="s">
        <v>47</v>
      </c>
    </row>
    <row r="66" spans="1:5" ht="15" customHeight="1" x14ac:dyDescent="0.25">
      <c r="A66" s="2" t="s">
        <v>59</v>
      </c>
      <c r="B66" s="2" t="s">
        <v>25</v>
      </c>
      <c r="C66" s="2" t="s">
        <v>17</v>
      </c>
      <c r="D66" s="2" t="s">
        <v>13</v>
      </c>
      <c r="E66" s="2" t="s">
        <v>47</v>
      </c>
    </row>
    <row r="67" spans="1:5" ht="15" customHeight="1" x14ac:dyDescent="0.25">
      <c r="A67" s="2" t="s">
        <v>60</v>
      </c>
      <c r="B67" s="2" t="s">
        <v>15</v>
      </c>
      <c r="C67" s="2" t="s">
        <v>24</v>
      </c>
      <c r="D67" s="2" t="s">
        <v>7</v>
      </c>
      <c r="E67" s="2" t="s">
        <v>47</v>
      </c>
    </row>
    <row r="68" spans="1:5" ht="15" customHeight="1" x14ac:dyDescent="0.25">
      <c r="A68" s="2" t="s">
        <v>59</v>
      </c>
      <c r="B68" s="2">
        <v>3</v>
      </c>
      <c r="C68" s="2" t="s">
        <v>43</v>
      </c>
      <c r="D68" s="2" t="s">
        <v>16</v>
      </c>
      <c r="E68" s="2" t="s">
        <v>47</v>
      </c>
    </row>
    <row r="69" spans="1:5" ht="15" customHeight="1" x14ac:dyDescent="0.25">
      <c r="A69" s="2" t="s">
        <v>32</v>
      </c>
      <c r="B69" s="2" t="s">
        <v>55</v>
      </c>
      <c r="C69" s="2" t="s">
        <v>40</v>
      </c>
      <c r="D69" s="2">
        <v>1</v>
      </c>
      <c r="E69" s="2" t="s">
        <v>47</v>
      </c>
    </row>
    <row r="70" spans="1:5" ht="15" customHeight="1" x14ac:dyDescent="0.25">
      <c r="A70" s="2" t="s">
        <v>61</v>
      </c>
      <c r="B70" s="2" t="s">
        <v>57</v>
      </c>
      <c r="C70" s="2" t="s">
        <v>43</v>
      </c>
      <c r="D70" s="2" t="s">
        <v>16</v>
      </c>
      <c r="E70" s="2" t="s">
        <v>47</v>
      </c>
    </row>
    <row r="71" spans="1:5" ht="15" customHeight="1" x14ac:dyDescent="0.25">
      <c r="A71" s="2" t="s">
        <v>59</v>
      </c>
      <c r="B71" s="2" t="s">
        <v>62</v>
      </c>
      <c r="C71" s="2" t="s">
        <v>19</v>
      </c>
      <c r="D71" s="2" t="s">
        <v>31</v>
      </c>
      <c r="E71" s="2" t="s">
        <v>47</v>
      </c>
    </row>
    <row r="72" spans="1:5" ht="15" customHeight="1" x14ac:dyDescent="0.25">
      <c r="A72" s="2" t="s">
        <v>56</v>
      </c>
      <c r="B72" s="2" t="s">
        <v>12</v>
      </c>
      <c r="C72" s="2" t="s">
        <v>28</v>
      </c>
      <c r="D72" s="2" t="s">
        <v>63</v>
      </c>
      <c r="E72" s="2" t="s">
        <v>47</v>
      </c>
    </row>
    <row r="73" spans="1:5" ht="15" customHeight="1" x14ac:dyDescent="0.25">
      <c r="A73" s="2" t="s">
        <v>58</v>
      </c>
      <c r="B73" s="2" t="s">
        <v>51</v>
      </c>
      <c r="C73" s="2">
        <v>4</v>
      </c>
      <c r="D73" s="2" t="s">
        <v>13</v>
      </c>
      <c r="E73" s="2" t="s">
        <v>47</v>
      </c>
    </row>
    <row r="74" spans="1:5" ht="15" customHeight="1" x14ac:dyDescent="0.25">
      <c r="A74" s="2" t="s">
        <v>52</v>
      </c>
      <c r="B74" s="2" t="s">
        <v>62</v>
      </c>
      <c r="C74" s="2" t="s">
        <v>10</v>
      </c>
      <c r="D74" s="2" t="s">
        <v>16</v>
      </c>
      <c r="E74" s="2" t="s">
        <v>47</v>
      </c>
    </row>
    <row r="75" spans="1:5" ht="15" customHeight="1" x14ac:dyDescent="0.25">
      <c r="A75" s="2" t="s">
        <v>58</v>
      </c>
      <c r="B75" s="2" t="s">
        <v>51</v>
      </c>
      <c r="C75" s="2" t="s">
        <v>11</v>
      </c>
      <c r="D75" s="2" t="s">
        <v>33</v>
      </c>
      <c r="E75" s="2" t="s">
        <v>47</v>
      </c>
    </row>
    <row r="76" spans="1:5" ht="15" customHeight="1" x14ac:dyDescent="0.25">
      <c r="A76" s="2" t="s">
        <v>48</v>
      </c>
      <c r="B76" s="2" t="s">
        <v>25</v>
      </c>
      <c r="C76" s="2" t="s">
        <v>30</v>
      </c>
      <c r="D76" s="2" t="s">
        <v>13</v>
      </c>
      <c r="E76" s="2" t="s">
        <v>47</v>
      </c>
    </row>
    <row r="77" spans="1:5" ht="15" customHeight="1" x14ac:dyDescent="0.25">
      <c r="A77" s="2" t="s">
        <v>54</v>
      </c>
      <c r="B77" s="2">
        <v>3</v>
      </c>
      <c r="C77" s="2" t="s">
        <v>24</v>
      </c>
      <c r="D77" s="2" t="s">
        <v>7</v>
      </c>
      <c r="E77" s="2" t="s">
        <v>47</v>
      </c>
    </row>
    <row r="78" spans="1:5" ht="15" customHeight="1" x14ac:dyDescent="0.25">
      <c r="A78" s="2" t="s">
        <v>64</v>
      </c>
      <c r="B78" s="2" t="s">
        <v>51</v>
      </c>
      <c r="C78" s="2" t="s">
        <v>28</v>
      </c>
      <c r="D78" s="2" t="s">
        <v>7</v>
      </c>
      <c r="E78" s="2" t="s">
        <v>47</v>
      </c>
    </row>
    <row r="79" spans="1:5" ht="15" customHeight="1" x14ac:dyDescent="0.25">
      <c r="A79" s="2" t="s">
        <v>60</v>
      </c>
      <c r="B79" s="2">
        <v>3</v>
      </c>
      <c r="C79" s="2">
        <v>5</v>
      </c>
      <c r="D79" s="2" t="s">
        <v>20</v>
      </c>
      <c r="E79" s="2" t="s">
        <v>47</v>
      </c>
    </row>
    <row r="80" spans="1:5" ht="15" customHeight="1" x14ac:dyDescent="0.25">
      <c r="A80" s="2">
        <v>6</v>
      </c>
      <c r="B80" s="2" t="s">
        <v>25</v>
      </c>
      <c r="C80" s="2" t="s">
        <v>43</v>
      </c>
      <c r="D80" s="2" t="s">
        <v>16</v>
      </c>
      <c r="E80" s="2" t="s">
        <v>47</v>
      </c>
    </row>
    <row r="81" spans="1:5" ht="15" customHeight="1" x14ac:dyDescent="0.25">
      <c r="A81" s="2" t="s">
        <v>34</v>
      </c>
      <c r="B81" s="2" t="s">
        <v>65</v>
      </c>
      <c r="C81" s="2" t="s">
        <v>6</v>
      </c>
      <c r="D81" s="2">
        <v>1</v>
      </c>
      <c r="E81" s="2" t="s">
        <v>47</v>
      </c>
    </row>
    <row r="82" spans="1:5" ht="15" customHeight="1" x14ac:dyDescent="0.25">
      <c r="A82" s="2" t="s">
        <v>41</v>
      </c>
      <c r="B82" s="2" t="s">
        <v>53</v>
      </c>
      <c r="C82" s="2" t="s">
        <v>35</v>
      </c>
      <c r="D82" s="2" t="s">
        <v>31</v>
      </c>
      <c r="E82" s="2" t="s">
        <v>47</v>
      </c>
    </row>
    <row r="83" spans="1:5" ht="15" customHeight="1" x14ac:dyDescent="0.25">
      <c r="A83" s="2" t="s">
        <v>41</v>
      </c>
      <c r="B83" s="2" t="s">
        <v>53</v>
      </c>
      <c r="C83" s="2" t="s">
        <v>27</v>
      </c>
      <c r="D83" s="2">
        <v>1</v>
      </c>
      <c r="E83" s="2" t="s">
        <v>47</v>
      </c>
    </row>
    <row r="84" spans="1:5" ht="15" customHeight="1" x14ac:dyDescent="0.25">
      <c r="A84" s="2" t="s">
        <v>32</v>
      </c>
      <c r="B84" s="2" t="s">
        <v>55</v>
      </c>
      <c r="C84" s="2" t="s">
        <v>19</v>
      </c>
      <c r="D84" s="2" t="s">
        <v>33</v>
      </c>
      <c r="E84" s="2" t="s">
        <v>47</v>
      </c>
    </row>
    <row r="85" spans="1:5" ht="15" customHeight="1" x14ac:dyDescent="0.25">
      <c r="A85" s="2">
        <v>6</v>
      </c>
      <c r="B85" s="2" t="s">
        <v>55</v>
      </c>
      <c r="C85" s="2" t="s">
        <v>5</v>
      </c>
      <c r="D85" s="2" t="s">
        <v>29</v>
      </c>
      <c r="E85" s="2" t="s">
        <v>47</v>
      </c>
    </row>
    <row r="86" spans="1:5" ht="15" customHeight="1" x14ac:dyDescent="0.25">
      <c r="A86" s="2" t="s">
        <v>18</v>
      </c>
      <c r="B86" s="2">
        <v>3</v>
      </c>
      <c r="C86" s="2" t="s">
        <v>43</v>
      </c>
      <c r="D86" s="2" t="s">
        <v>16</v>
      </c>
      <c r="E86" s="2" t="s">
        <v>47</v>
      </c>
    </row>
    <row r="87" spans="1:5" ht="15" customHeight="1" x14ac:dyDescent="0.25">
      <c r="A87" s="2">
        <v>6</v>
      </c>
      <c r="B87" s="2" t="s">
        <v>22</v>
      </c>
      <c r="C87" s="2" t="s">
        <v>43</v>
      </c>
      <c r="D87" s="2" t="s">
        <v>29</v>
      </c>
      <c r="E87" s="2" t="s">
        <v>47</v>
      </c>
    </row>
    <row r="88" spans="1:5" ht="15" customHeight="1" x14ac:dyDescent="0.25">
      <c r="A88" s="2" t="s">
        <v>60</v>
      </c>
      <c r="B88" s="2" t="s">
        <v>15</v>
      </c>
      <c r="C88" s="2" t="s">
        <v>11</v>
      </c>
      <c r="D88" s="2" t="s">
        <v>16</v>
      </c>
      <c r="E88" s="2" t="s">
        <v>47</v>
      </c>
    </row>
    <row r="89" spans="1:5" ht="15" customHeight="1" x14ac:dyDescent="0.25">
      <c r="A89" s="2" t="s">
        <v>52</v>
      </c>
      <c r="B89" s="2" t="s">
        <v>44</v>
      </c>
      <c r="C89" s="2" t="s">
        <v>24</v>
      </c>
      <c r="D89" s="2" t="s">
        <v>13</v>
      </c>
      <c r="E89" s="2" t="s">
        <v>47</v>
      </c>
    </row>
    <row r="90" spans="1:5" ht="15" customHeight="1" x14ac:dyDescent="0.25">
      <c r="A90" s="2" t="s">
        <v>59</v>
      </c>
      <c r="B90" s="2">
        <v>3</v>
      </c>
      <c r="C90" s="2" t="s">
        <v>40</v>
      </c>
      <c r="D90" s="2" t="s">
        <v>13</v>
      </c>
      <c r="E90" s="2" t="s">
        <v>47</v>
      </c>
    </row>
    <row r="91" spans="1:5" ht="15" customHeight="1" x14ac:dyDescent="0.25">
      <c r="A91" s="2" t="s">
        <v>41</v>
      </c>
      <c r="B91" s="2" t="s">
        <v>62</v>
      </c>
      <c r="C91" s="2">
        <v>4</v>
      </c>
      <c r="D91" s="2" t="s">
        <v>13</v>
      </c>
      <c r="E91" s="2" t="s">
        <v>47</v>
      </c>
    </row>
    <row r="92" spans="1:5" ht="15" customHeight="1" x14ac:dyDescent="0.25">
      <c r="A92" s="2" t="s">
        <v>41</v>
      </c>
      <c r="B92" s="2" t="s">
        <v>65</v>
      </c>
      <c r="C92" s="2" t="s">
        <v>24</v>
      </c>
      <c r="D92" s="2" t="s">
        <v>33</v>
      </c>
      <c r="E92" s="2" t="s">
        <v>47</v>
      </c>
    </row>
    <row r="93" spans="1:5" ht="15" customHeight="1" x14ac:dyDescent="0.25">
      <c r="A93" s="2" t="s">
        <v>58</v>
      </c>
      <c r="B93" s="2">
        <v>3</v>
      </c>
      <c r="C93" s="2" t="s">
        <v>14</v>
      </c>
      <c r="D93" s="2" t="s">
        <v>7</v>
      </c>
      <c r="E93" s="2" t="s">
        <v>47</v>
      </c>
    </row>
    <row r="94" spans="1:5" ht="15" customHeight="1" x14ac:dyDescent="0.25">
      <c r="A94" s="2" t="s">
        <v>32</v>
      </c>
      <c r="B94" s="2" t="s">
        <v>65</v>
      </c>
      <c r="C94" s="2">
        <v>4</v>
      </c>
      <c r="D94" s="2" t="s">
        <v>33</v>
      </c>
      <c r="E94" s="2" t="s">
        <v>47</v>
      </c>
    </row>
    <row r="95" spans="1:5" ht="15" customHeight="1" x14ac:dyDescent="0.25">
      <c r="A95" s="2">
        <v>5</v>
      </c>
      <c r="B95" s="2" t="s">
        <v>44</v>
      </c>
      <c r="C95" s="2" t="s">
        <v>36</v>
      </c>
      <c r="D95" s="2">
        <v>1</v>
      </c>
      <c r="E95" s="2" t="s">
        <v>47</v>
      </c>
    </row>
    <row r="96" spans="1:5" ht="15" customHeight="1" x14ac:dyDescent="0.25">
      <c r="A96" s="2" t="s">
        <v>59</v>
      </c>
      <c r="B96" s="2" t="s">
        <v>55</v>
      </c>
      <c r="C96" s="2" t="s">
        <v>42</v>
      </c>
      <c r="D96" s="2" t="s">
        <v>13</v>
      </c>
      <c r="E96" s="2" t="s">
        <v>47</v>
      </c>
    </row>
    <row r="97" spans="1:5" ht="15" customHeight="1" x14ac:dyDescent="0.25">
      <c r="A97" s="2" t="s">
        <v>34</v>
      </c>
      <c r="B97" s="2">
        <v>3</v>
      </c>
      <c r="C97" s="2" t="s">
        <v>42</v>
      </c>
      <c r="D97" s="2" t="s">
        <v>33</v>
      </c>
      <c r="E97" s="2" t="s">
        <v>47</v>
      </c>
    </row>
    <row r="98" spans="1:5" ht="15" customHeight="1" x14ac:dyDescent="0.25">
      <c r="A98" s="2" t="s">
        <v>34</v>
      </c>
      <c r="B98" s="2" t="s">
        <v>25</v>
      </c>
      <c r="C98" s="2" t="s">
        <v>42</v>
      </c>
      <c r="D98" s="2" t="s">
        <v>13</v>
      </c>
      <c r="E98" s="2" t="s">
        <v>47</v>
      </c>
    </row>
    <row r="99" spans="1:5" ht="15" customHeight="1" x14ac:dyDescent="0.25">
      <c r="A99" s="2" t="s">
        <v>61</v>
      </c>
      <c r="B99" s="2" t="s">
        <v>25</v>
      </c>
      <c r="C99" s="2" t="s">
        <v>30</v>
      </c>
      <c r="D99" s="2" t="s">
        <v>13</v>
      </c>
      <c r="E99" s="2" t="s">
        <v>47</v>
      </c>
    </row>
    <row r="100" spans="1:5" ht="15" customHeight="1" x14ac:dyDescent="0.25">
      <c r="A100" s="2" t="s">
        <v>5</v>
      </c>
      <c r="B100" s="2" t="s">
        <v>62</v>
      </c>
      <c r="C100" s="2">
        <v>3</v>
      </c>
      <c r="D100" s="2" t="s">
        <v>31</v>
      </c>
      <c r="E100" s="2" t="s">
        <v>47</v>
      </c>
    </row>
    <row r="101" spans="1:5" ht="15" customHeight="1" x14ac:dyDescent="0.25">
      <c r="A101" s="2" t="s">
        <v>34</v>
      </c>
      <c r="B101" s="2" t="s">
        <v>51</v>
      </c>
      <c r="C101" s="2" t="s">
        <v>40</v>
      </c>
      <c r="D101" s="2" t="s">
        <v>13</v>
      </c>
      <c r="E101" s="2" t="s">
        <v>47</v>
      </c>
    </row>
    <row r="102" spans="1:5" ht="15" customHeight="1" x14ac:dyDescent="0.25">
      <c r="A102" s="2" t="s">
        <v>52</v>
      </c>
      <c r="B102" s="2" t="s">
        <v>36</v>
      </c>
      <c r="C102" s="2">
        <v>6</v>
      </c>
      <c r="D102" s="2" t="s">
        <v>62</v>
      </c>
      <c r="E102" s="2" t="s">
        <v>66</v>
      </c>
    </row>
    <row r="103" spans="1:5" ht="15" customHeight="1" x14ac:dyDescent="0.25">
      <c r="A103" s="2" t="s">
        <v>32</v>
      </c>
      <c r="B103" s="2" t="s">
        <v>55</v>
      </c>
      <c r="C103" s="2" t="s">
        <v>5</v>
      </c>
      <c r="D103" s="2" t="s">
        <v>38</v>
      </c>
      <c r="E103" s="2" t="s">
        <v>66</v>
      </c>
    </row>
    <row r="104" spans="1:5" ht="15" customHeight="1" x14ac:dyDescent="0.25">
      <c r="A104" s="2" t="s">
        <v>67</v>
      </c>
      <c r="B104" s="2">
        <v>3</v>
      </c>
      <c r="C104" s="2" t="s">
        <v>56</v>
      </c>
      <c r="D104" s="2" t="s">
        <v>68</v>
      </c>
      <c r="E104" s="2" t="s">
        <v>66</v>
      </c>
    </row>
    <row r="105" spans="1:5" ht="15" customHeight="1" x14ac:dyDescent="0.25">
      <c r="A105" s="2" t="s">
        <v>52</v>
      </c>
      <c r="B105" s="2" t="s">
        <v>25</v>
      </c>
      <c r="C105" s="2" t="s">
        <v>59</v>
      </c>
      <c r="D105" s="2" t="s">
        <v>63</v>
      </c>
      <c r="E105" s="2" t="s">
        <v>66</v>
      </c>
    </row>
    <row r="106" spans="1:5" ht="15" customHeight="1" x14ac:dyDescent="0.25">
      <c r="A106" s="2" t="s">
        <v>50</v>
      </c>
      <c r="B106" s="2">
        <v>3</v>
      </c>
      <c r="C106" s="2" t="s">
        <v>32</v>
      </c>
      <c r="D106" s="2" t="s">
        <v>57</v>
      </c>
      <c r="E106" s="2" t="s">
        <v>66</v>
      </c>
    </row>
    <row r="107" spans="1:5" ht="15" customHeight="1" x14ac:dyDescent="0.25">
      <c r="A107" s="2" t="s">
        <v>69</v>
      </c>
      <c r="B107" s="2">
        <v>3</v>
      </c>
      <c r="C107" s="2" t="s">
        <v>54</v>
      </c>
      <c r="D107" s="2" t="s">
        <v>68</v>
      </c>
      <c r="E107" s="2" t="s">
        <v>66</v>
      </c>
    </row>
    <row r="108" spans="1:5" ht="15" customHeight="1" x14ac:dyDescent="0.25">
      <c r="A108" s="2" t="s">
        <v>10</v>
      </c>
      <c r="B108" s="2" t="s">
        <v>62</v>
      </c>
      <c r="C108" s="2" t="s">
        <v>43</v>
      </c>
      <c r="D108" s="2" t="s">
        <v>20</v>
      </c>
      <c r="E108" s="2" t="s">
        <v>66</v>
      </c>
    </row>
    <row r="109" spans="1:5" ht="15" customHeight="1" x14ac:dyDescent="0.25">
      <c r="A109" s="2" t="s">
        <v>70</v>
      </c>
      <c r="B109" s="2" t="s">
        <v>25</v>
      </c>
      <c r="C109" s="2" t="s">
        <v>52</v>
      </c>
      <c r="D109" s="2" t="s">
        <v>63</v>
      </c>
      <c r="E109" s="2" t="s">
        <v>66</v>
      </c>
    </row>
    <row r="110" spans="1:5" ht="15" customHeight="1" x14ac:dyDescent="0.25">
      <c r="A110" s="2" t="s">
        <v>60</v>
      </c>
      <c r="B110" s="2" t="s">
        <v>62</v>
      </c>
      <c r="C110" s="2" t="s">
        <v>32</v>
      </c>
      <c r="D110" s="2" t="s">
        <v>63</v>
      </c>
      <c r="E110" s="2" t="s">
        <v>66</v>
      </c>
    </row>
    <row r="111" spans="1:5" ht="15" customHeight="1" x14ac:dyDescent="0.25">
      <c r="A111" s="2" t="s">
        <v>71</v>
      </c>
      <c r="B111" s="2" t="s">
        <v>17</v>
      </c>
      <c r="C111" s="2" t="s">
        <v>58</v>
      </c>
      <c r="D111" s="2" t="s">
        <v>62</v>
      </c>
      <c r="E111" s="2" t="s">
        <v>66</v>
      </c>
    </row>
    <row r="112" spans="1:5" ht="15" customHeight="1" x14ac:dyDescent="0.25">
      <c r="A112" s="2" t="s">
        <v>50</v>
      </c>
      <c r="B112" s="2" t="s">
        <v>12</v>
      </c>
      <c r="C112" s="2" t="s">
        <v>5</v>
      </c>
      <c r="D112" s="2">
        <v>2</v>
      </c>
      <c r="E112" s="2" t="s">
        <v>66</v>
      </c>
    </row>
    <row r="113" spans="1:5" ht="15" customHeight="1" x14ac:dyDescent="0.25">
      <c r="A113" s="2" t="s">
        <v>48</v>
      </c>
      <c r="B113" s="2" t="s">
        <v>55</v>
      </c>
      <c r="C113" s="2" t="s">
        <v>46</v>
      </c>
      <c r="D113" s="2" t="s">
        <v>38</v>
      </c>
      <c r="E113" s="2" t="s">
        <v>66</v>
      </c>
    </row>
    <row r="114" spans="1:5" ht="15" customHeight="1" x14ac:dyDescent="0.25">
      <c r="A114" s="2" t="s">
        <v>64</v>
      </c>
      <c r="B114" s="2">
        <v>3</v>
      </c>
      <c r="C114" s="2" t="s">
        <v>41</v>
      </c>
      <c r="D114" s="2" t="s">
        <v>68</v>
      </c>
      <c r="E114" s="2" t="s">
        <v>66</v>
      </c>
    </row>
    <row r="115" spans="1:5" ht="15" customHeight="1" x14ac:dyDescent="0.25">
      <c r="A115" s="2" t="s">
        <v>34</v>
      </c>
      <c r="B115" s="2" t="s">
        <v>62</v>
      </c>
      <c r="C115" s="2">
        <v>5</v>
      </c>
      <c r="D115" s="2">
        <v>2</v>
      </c>
      <c r="E115" s="2" t="s">
        <v>66</v>
      </c>
    </row>
    <row r="116" spans="1:5" ht="15" customHeight="1" x14ac:dyDescent="0.25">
      <c r="A116" s="2" t="s">
        <v>32</v>
      </c>
      <c r="B116" s="2" t="s">
        <v>51</v>
      </c>
      <c r="C116" s="2" t="s">
        <v>5</v>
      </c>
      <c r="D116" s="2" t="s">
        <v>53</v>
      </c>
      <c r="E116" s="2" t="s">
        <v>66</v>
      </c>
    </row>
    <row r="117" spans="1:5" ht="15" customHeight="1" x14ac:dyDescent="0.25">
      <c r="A117" s="2" t="s">
        <v>48</v>
      </c>
      <c r="B117" s="2" t="s">
        <v>12</v>
      </c>
      <c r="C117" s="2" t="s">
        <v>46</v>
      </c>
      <c r="D117" s="2" t="s">
        <v>44</v>
      </c>
      <c r="E117" s="2" t="s">
        <v>66</v>
      </c>
    </row>
    <row r="118" spans="1:5" ht="15" customHeight="1" x14ac:dyDescent="0.25">
      <c r="A118" s="2" t="s">
        <v>50</v>
      </c>
      <c r="B118" s="2">
        <v>3</v>
      </c>
      <c r="C118" s="2" t="s">
        <v>41</v>
      </c>
      <c r="D118" s="2" t="s">
        <v>63</v>
      </c>
      <c r="E118" s="2" t="s">
        <v>66</v>
      </c>
    </row>
    <row r="119" spans="1:5" ht="15" customHeight="1" x14ac:dyDescent="0.25">
      <c r="A119" s="2" t="s">
        <v>72</v>
      </c>
      <c r="B119" s="2" t="s">
        <v>35</v>
      </c>
      <c r="C119" s="2" t="s">
        <v>60</v>
      </c>
      <c r="D119" s="2" t="s">
        <v>57</v>
      </c>
      <c r="E119" s="2" t="s">
        <v>66</v>
      </c>
    </row>
    <row r="120" spans="1:5" ht="15" customHeight="1" x14ac:dyDescent="0.25">
      <c r="A120" s="2" t="s">
        <v>72</v>
      </c>
      <c r="B120" s="2" t="s">
        <v>65</v>
      </c>
      <c r="C120" s="2" t="s">
        <v>49</v>
      </c>
      <c r="D120" s="2" t="s">
        <v>44</v>
      </c>
      <c r="E120" s="2" t="s">
        <v>66</v>
      </c>
    </row>
    <row r="121" spans="1:5" ht="15" customHeight="1" x14ac:dyDescent="0.25">
      <c r="A121" s="2">
        <v>6</v>
      </c>
      <c r="B121" s="2" t="s">
        <v>57</v>
      </c>
      <c r="C121" s="2">
        <v>5</v>
      </c>
      <c r="D121" s="2" t="s">
        <v>16</v>
      </c>
      <c r="E121" s="2" t="s">
        <v>66</v>
      </c>
    </row>
    <row r="122" spans="1:5" ht="15" customHeight="1" x14ac:dyDescent="0.25">
      <c r="A122" s="2" t="s">
        <v>49</v>
      </c>
      <c r="B122" s="2" t="s">
        <v>12</v>
      </c>
      <c r="C122" s="2" t="s">
        <v>34</v>
      </c>
      <c r="D122" s="2" t="s">
        <v>44</v>
      </c>
      <c r="E122" s="2" t="s">
        <v>66</v>
      </c>
    </row>
    <row r="123" spans="1:5" ht="15" customHeight="1" x14ac:dyDescent="0.25">
      <c r="A123" s="2" t="s">
        <v>59</v>
      </c>
      <c r="B123" s="2" t="s">
        <v>51</v>
      </c>
      <c r="C123" s="2" t="s">
        <v>10</v>
      </c>
      <c r="D123" s="2">
        <v>2</v>
      </c>
      <c r="E123" s="2" t="s">
        <v>66</v>
      </c>
    </row>
    <row r="124" spans="1:5" ht="15" customHeight="1" x14ac:dyDescent="0.25">
      <c r="A124" s="2" t="s">
        <v>72</v>
      </c>
      <c r="B124" s="2" t="s">
        <v>51</v>
      </c>
      <c r="C124" s="2" t="s">
        <v>60</v>
      </c>
      <c r="D124" s="2">
        <v>2</v>
      </c>
      <c r="E124" s="2" t="s">
        <v>66</v>
      </c>
    </row>
    <row r="125" spans="1:5" ht="15" customHeight="1" x14ac:dyDescent="0.25">
      <c r="A125" s="2" t="s">
        <v>52</v>
      </c>
      <c r="B125" s="2" t="s">
        <v>55</v>
      </c>
      <c r="C125" s="2" t="s">
        <v>10</v>
      </c>
      <c r="D125" s="2" t="s">
        <v>63</v>
      </c>
      <c r="E125" s="2" t="s">
        <v>66</v>
      </c>
    </row>
    <row r="126" spans="1:5" ht="15" customHeight="1" x14ac:dyDescent="0.25">
      <c r="A126" s="2" t="s">
        <v>60</v>
      </c>
      <c r="B126" s="2" t="s">
        <v>36</v>
      </c>
      <c r="C126" s="2" t="s">
        <v>34</v>
      </c>
      <c r="D126" s="2" t="s">
        <v>68</v>
      </c>
      <c r="E126" s="2" t="s">
        <v>66</v>
      </c>
    </row>
    <row r="127" spans="1:5" ht="15" customHeight="1" x14ac:dyDescent="0.25">
      <c r="A127" s="2" t="s">
        <v>71</v>
      </c>
      <c r="B127" s="2" t="s">
        <v>12</v>
      </c>
      <c r="C127" s="2">
        <v>6</v>
      </c>
      <c r="D127" s="2" t="s">
        <v>63</v>
      </c>
      <c r="E127" s="2" t="s">
        <v>66</v>
      </c>
    </row>
    <row r="128" spans="1:5" ht="15" customHeight="1" x14ac:dyDescent="0.25">
      <c r="A128" s="2" t="s">
        <v>61</v>
      </c>
      <c r="B128" s="2" t="s">
        <v>51</v>
      </c>
      <c r="C128" s="2" t="s">
        <v>28</v>
      </c>
      <c r="D128" s="2" t="s">
        <v>63</v>
      </c>
      <c r="E128" s="2" t="s">
        <v>66</v>
      </c>
    </row>
    <row r="129" spans="1:5" ht="15" customHeight="1" x14ac:dyDescent="0.25">
      <c r="A129" s="2" t="s">
        <v>58</v>
      </c>
      <c r="B129" s="2">
        <v>3</v>
      </c>
      <c r="C129" s="2" t="s">
        <v>10</v>
      </c>
      <c r="D129" s="2" t="s">
        <v>63</v>
      </c>
      <c r="E129" s="2" t="s">
        <v>66</v>
      </c>
    </row>
    <row r="130" spans="1:5" ht="15" customHeight="1" x14ac:dyDescent="0.25">
      <c r="A130" s="2" t="s">
        <v>48</v>
      </c>
      <c r="B130" s="2" t="s">
        <v>51</v>
      </c>
      <c r="C130" s="2" t="s">
        <v>59</v>
      </c>
      <c r="D130" s="2" t="s">
        <v>68</v>
      </c>
      <c r="E130" s="2" t="s">
        <v>66</v>
      </c>
    </row>
    <row r="131" spans="1:5" ht="15" customHeight="1" x14ac:dyDescent="0.25">
      <c r="A131" s="2" t="s">
        <v>71</v>
      </c>
      <c r="B131" s="2">
        <v>3</v>
      </c>
      <c r="C131" s="2" t="s">
        <v>32</v>
      </c>
      <c r="D131" s="2" t="s">
        <v>29</v>
      </c>
      <c r="E131" s="2" t="s">
        <v>66</v>
      </c>
    </row>
    <row r="132" spans="1:5" ht="15" customHeight="1" x14ac:dyDescent="0.25">
      <c r="A132" s="2" t="s">
        <v>73</v>
      </c>
      <c r="B132" s="2" t="s">
        <v>51</v>
      </c>
      <c r="C132" s="2" t="s">
        <v>58</v>
      </c>
      <c r="D132" s="2" t="s">
        <v>38</v>
      </c>
      <c r="E132" s="2" t="s">
        <v>66</v>
      </c>
    </row>
    <row r="133" spans="1:5" ht="15" customHeight="1" x14ac:dyDescent="0.25">
      <c r="A133" s="2" t="s">
        <v>74</v>
      </c>
      <c r="B133" s="2" t="s">
        <v>35</v>
      </c>
      <c r="C133" s="2" t="s">
        <v>48</v>
      </c>
      <c r="D133" s="2">
        <v>2</v>
      </c>
      <c r="E133" s="2" t="s">
        <v>66</v>
      </c>
    </row>
    <row r="134" spans="1:5" ht="15" customHeight="1" x14ac:dyDescent="0.25">
      <c r="A134" s="2" t="s">
        <v>48</v>
      </c>
      <c r="B134" s="2" t="s">
        <v>51</v>
      </c>
      <c r="C134" s="2" t="s">
        <v>59</v>
      </c>
      <c r="D134" s="2" t="s">
        <v>57</v>
      </c>
      <c r="E134" s="2" t="s">
        <v>66</v>
      </c>
    </row>
    <row r="135" spans="1:5" ht="15" customHeight="1" x14ac:dyDescent="0.25">
      <c r="A135" s="2" t="s">
        <v>52</v>
      </c>
      <c r="B135" s="2" t="s">
        <v>51</v>
      </c>
      <c r="C135" s="2" t="s">
        <v>5</v>
      </c>
      <c r="D135" s="2" t="s">
        <v>16</v>
      </c>
      <c r="E135" s="2" t="s">
        <v>66</v>
      </c>
    </row>
    <row r="136" spans="1:5" ht="15" customHeight="1" x14ac:dyDescent="0.25">
      <c r="A136" s="2" t="s">
        <v>58</v>
      </c>
      <c r="B136" s="2" t="s">
        <v>65</v>
      </c>
      <c r="C136" s="2" t="s">
        <v>59</v>
      </c>
      <c r="D136" s="2" t="s">
        <v>7</v>
      </c>
      <c r="E136" s="2" t="s">
        <v>66</v>
      </c>
    </row>
    <row r="137" spans="1:5" ht="15" customHeight="1" x14ac:dyDescent="0.25">
      <c r="A137" s="2" t="s">
        <v>72</v>
      </c>
      <c r="B137" s="2">
        <v>3</v>
      </c>
      <c r="C137" s="2" t="s">
        <v>58</v>
      </c>
      <c r="D137" s="2" t="s">
        <v>44</v>
      </c>
      <c r="E137" s="2" t="s">
        <v>66</v>
      </c>
    </row>
    <row r="138" spans="1:5" ht="15" customHeight="1" x14ac:dyDescent="0.25">
      <c r="A138" s="2" t="s">
        <v>52</v>
      </c>
      <c r="B138" s="2" t="s">
        <v>22</v>
      </c>
      <c r="C138" s="2" t="s">
        <v>59</v>
      </c>
      <c r="D138" s="2" t="s">
        <v>53</v>
      </c>
      <c r="E138" s="2" t="s">
        <v>66</v>
      </c>
    </row>
    <row r="139" spans="1:5" ht="15" customHeight="1" x14ac:dyDescent="0.25">
      <c r="A139" s="2" t="s">
        <v>48</v>
      </c>
      <c r="B139" s="2" t="s">
        <v>15</v>
      </c>
      <c r="C139" s="2" t="s">
        <v>41</v>
      </c>
      <c r="D139" s="2" t="s">
        <v>63</v>
      </c>
      <c r="E139" s="2" t="s">
        <v>66</v>
      </c>
    </row>
    <row r="140" spans="1:5" ht="15" customHeight="1" x14ac:dyDescent="0.25">
      <c r="A140" s="2">
        <v>6</v>
      </c>
      <c r="B140" s="2">
        <v>3</v>
      </c>
      <c r="C140" s="2" t="s">
        <v>28</v>
      </c>
      <c r="D140" s="2" t="s">
        <v>63</v>
      </c>
      <c r="E140" s="2" t="s">
        <v>66</v>
      </c>
    </row>
    <row r="141" spans="1:5" ht="15" customHeight="1" x14ac:dyDescent="0.25">
      <c r="A141" s="2" t="s">
        <v>49</v>
      </c>
      <c r="B141" s="2" t="s">
        <v>15</v>
      </c>
      <c r="C141" s="2" t="s">
        <v>18</v>
      </c>
      <c r="D141" s="2" t="s">
        <v>68</v>
      </c>
      <c r="E141" s="2" t="s">
        <v>66</v>
      </c>
    </row>
    <row r="142" spans="1:5" ht="15" customHeight="1" x14ac:dyDescent="0.25">
      <c r="A142" s="2" t="s">
        <v>60</v>
      </c>
      <c r="B142" s="2" t="s">
        <v>15</v>
      </c>
      <c r="C142" s="2" t="s">
        <v>59</v>
      </c>
      <c r="D142" s="2" t="s">
        <v>53</v>
      </c>
      <c r="E142" s="2" t="s">
        <v>66</v>
      </c>
    </row>
    <row r="143" spans="1:5" ht="15" customHeight="1" x14ac:dyDescent="0.25">
      <c r="A143" s="2" t="s">
        <v>49</v>
      </c>
      <c r="B143" s="2" t="s">
        <v>15</v>
      </c>
      <c r="C143" s="2" t="s">
        <v>5</v>
      </c>
      <c r="D143" s="2" t="s">
        <v>44</v>
      </c>
      <c r="E143" s="2" t="s">
        <v>66</v>
      </c>
    </row>
    <row r="144" spans="1:5" ht="15" customHeight="1" x14ac:dyDescent="0.25">
      <c r="A144" s="2" t="s">
        <v>32</v>
      </c>
      <c r="B144" s="2" t="s">
        <v>55</v>
      </c>
      <c r="C144" s="2" t="s">
        <v>5</v>
      </c>
      <c r="D144" s="2" t="s">
        <v>38</v>
      </c>
      <c r="E144" s="2" t="s">
        <v>66</v>
      </c>
    </row>
    <row r="145" spans="1:5" ht="15" customHeight="1" x14ac:dyDescent="0.25">
      <c r="A145" s="2" t="s">
        <v>64</v>
      </c>
      <c r="B145" s="2" t="s">
        <v>12</v>
      </c>
      <c r="C145" s="2" t="s">
        <v>56</v>
      </c>
      <c r="D145" s="2" t="s">
        <v>44</v>
      </c>
      <c r="E145" s="2" t="s">
        <v>66</v>
      </c>
    </row>
    <row r="146" spans="1:5" ht="15" customHeight="1" x14ac:dyDescent="0.25">
      <c r="A146" s="2" t="s">
        <v>60</v>
      </c>
      <c r="B146" s="2" t="s">
        <v>36</v>
      </c>
      <c r="C146" s="2" t="s">
        <v>34</v>
      </c>
      <c r="D146" s="2" t="s">
        <v>62</v>
      </c>
      <c r="E146" s="2" t="s">
        <v>66</v>
      </c>
    </row>
    <row r="147" spans="1:5" ht="15" customHeight="1" x14ac:dyDescent="0.25">
      <c r="A147" s="2" t="s">
        <v>60</v>
      </c>
      <c r="B147" s="2">
        <v>3</v>
      </c>
      <c r="C147" s="2" t="s">
        <v>39</v>
      </c>
      <c r="D147" s="2" t="s">
        <v>44</v>
      </c>
      <c r="E147" s="2" t="s">
        <v>66</v>
      </c>
    </row>
    <row r="148" spans="1:5" ht="15" customHeight="1" x14ac:dyDescent="0.25">
      <c r="A148" s="2" t="s">
        <v>52</v>
      </c>
      <c r="B148" s="2" t="s">
        <v>62</v>
      </c>
      <c r="C148" s="2">
        <v>5</v>
      </c>
      <c r="D148" s="2" t="s">
        <v>38</v>
      </c>
      <c r="E148" s="2" t="s">
        <v>66</v>
      </c>
    </row>
    <row r="149" spans="1:5" ht="15" customHeight="1" x14ac:dyDescent="0.25">
      <c r="A149" s="2" t="s">
        <v>50</v>
      </c>
      <c r="B149" s="2">
        <v>3</v>
      </c>
      <c r="C149" s="2" t="s">
        <v>39</v>
      </c>
      <c r="D149" s="2">
        <v>2</v>
      </c>
      <c r="E149" s="2" t="s">
        <v>66</v>
      </c>
    </row>
    <row r="150" spans="1:5" ht="15" customHeight="1" x14ac:dyDescent="0.25">
      <c r="A150" s="2" t="s">
        <v>61</v>
      </c>
      <c r="B150" s="2" t="s">
        <v>22</v>
      </c>
      <c r="C150" s="2" t="s">
        <v>18</v>
      </c>
      <c r="D150" s="2" t="s">
        <v>44</v>
      </c>
      <c r="E150" s="2" t="s">
        <v>66</v>
      </c>
    </row>
    <row r="151" spans="1:5" ht="15" customHeight="1" x14ac:dyDescent="0.25">
      <c r="A151" s="2" t="s">
        <v>56</v>
      </c>
      <c r="B151" s="2">
        <v>3</v>
      </c>
      <c r="C151" s="2" t="s">
        <v>5</v>
      </c>
      <c r="D151" s="2" t="s">
        <v>63</v>
      </c>
      <c r="E151" s="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B12D-02B7-4126-86EB-6ECFB1A6D83E}">
  <dimension ref="B2:G38"/>
  <sheetViews>
    <sheetView tabSelected="1" zoomScale="115" zoomScaleNormal="115" workbookViewId="0">
      <selection activeCell="G10" sqref="G10"/>
    </sheetView>
  </sheetViews>
  <sheetFormatPr defaultRowHeight="15" x14ac:dyDescent="0.25"/>
  <cols>
    <col min="2" max="2" width="39.28515625" bestFit="1" customWidth="1"/>
    <col min="3" max="3" width="12.140625" bestFit="1" customWidth="1"/>
    <col min="4" max="4" width="12" bestFit="1" customWidth="1"/>
    <col min="5" max="5" width="27.140625" style="16" bestFit="1" customWidth="1"/>
    <col min="6" max="6" width="12.140625" bestFit="1" customWidth="1"/>
    <col min="7" max="7" width="19.85546875" bestFit="1" customWidth="1"/>
  </cols>
  <sheetData>
    <row r="2" spans="2:7" ht="19.899999999999999" customHeight="1" x14ac:dyDescent="0.25">
      <c r="B2" s="3" t="s">
        <v>75</v>
      </c>
      <c r="C2" s="3"/>
      <c r="D2" s="3"/>
    </row>
    <row r="3" spans="2:7" ht="19.899999999999999" customHeight="1" x14ac:dyDescent="0.25">
      <c r="B3" s="4" t="s">
        <v>76</v>
      </c>
      <c r="C3" s="4"/>
      <c r="D3" s="5" t="str" cm="1">
        <f t="array" ref="D3:D5">_xlfn.UNIQUE(iris!E2:E151)</f>
        <v>setosa</v>
      </c>
      <c r="F3" t="str" cm="1">
        <f t="array" ref="F3:F7">(TRANSPOSE(iris!A1:E1))</f>
        <v>Sepal.Length</v>
      </c>
      <c r="G3" t="str">
        <f>(_xlfn.TRANSLATE(F3))</f>
        <v>Sepal.Comprimento</v>
      </c>
    </row>
    <row r="4" spans="2:7" ht="19.899999999999999" customHeight="1" x14ac:dyDescent="0.25">
      <c r="B4" s="4"/>
      <c r="C4" s="4"/>
      <c r="D4" s="6" t="str">
        <v>versicolor</v>
      </c>
      <c r="F4" t="str">
        <v>Sepal.Width</v>
      </c>
      <c r="G4" t="str">
        <f t="shared" ref="G4:G7" si="0">(_xlfn.TRANSLATE(F4))</f>
        <v>Sepal.Width</v>
      </c>
    </row>
    <row r="5" spans="2:7" ht="19.899999999999999" customHeight="1" x14ac:dyDescent="0.25">
      <c r="B5" s="4"/>
      <c r="C5" s="4"/>
      <c r="D5" s="7" t="str">
        <v>virginica</v>
      </c>
      <c r="F5" t="str">
        <v>Petal.Length</v>
      </c>
      <c r="G5" t="str">
        <f t="shared" si="0"/>
        <v>Pétala. Comprimento</v>
      </c>
    </row>
    <row r="6" spans="2:7" ht="19.899999999999999" customHeight="1" x14ac:dyDescent="0.25">
      <c r="B6" s="4" t="s">
        <v>77</v>
      </c>
      <c r="C6" s="5" t="s">
        <v>9</v>
      </c>
      <c r="D6" s="5">
        <f>COUNTIF(iris!E2:E151,'Análise do Dataset Iris'!C6)</f>
        <v>50</v>
      </c>
      <c r="F6" t="str">
        <v>Petal.Width</v>
      </c>
      <c r="G6" t="str">
        <f t="shared" si="0"/>
        <v>Pétala. Largura</v>
      </c>
    </row>
    <row r="7" spans="2:7" ht="19.899999999999999" customHeight="1" x14ac:dyDescent="0.25">
      <c r="B7" s="4"/>
      <c r="C7" s="6" t="s">
        <v>47</v>
      </c>
      <c r="D7" s="12">
        <f>COUNTIF(iris!E2:E151,'Análise do Dataset Iris'!C7)</f>
        <v>50</v>
      </c>
      <c r="F7" t="str">
        <v>Species</v>
      </c>
      <c r="G7" t="str">
        <f t="shared" si="0"/>
        <v>Espécies</v>
      </c>
    </row>
    <row r="8" spans="2:7" ht="19.899999999999999" customHeight="1" x14ac:dyDescent="0.25">
      <c r="B8" s="4"/>
      <c r="C8" s="7" t="s">
        <v>66</v>
      </c>
      <c r="D8" s="7">
        <f>COUNTIF(iris!E2:E153,'Análise do Dataset Iris'!C8)</f>
        <v>50</v>
      </c>
    </row>
    <row r="9" spans="2:7" ht="19.899999999999999" customHeight="1" x14ac:dyDescent="0.25">
      <c r="B9" s="4" t="s">
        <v>78</v>
      </c>
      <c r="C9" s="4"/>
      <c r="D9" s="8">
        <f>(COUNTA(iris!E1:E150))</f>
        <v>150</v>
      </c>
    </row>
    <row r="10" spans="2:7" ht="19.899999999999999" customHeight="1" x14ac:dyDescent="0.25">
      <c r="B10" s="4" t="s">
        <v>79</v>
      </c>
      <c r="C10" s="5" t="s">
        <v>9</v>
      </c>
      <c r="D10" s="5">
        <f>D6/$D$9</f>
        <v>0.33333333333333331</v>
      </c>
    </row>
    <row r="11" spans="2:7" ht="19.899999999999999" customHeight="1" x14ac:dyDescent="0.25">
      <c r="B11" s="4"/>
      <c r="C11" s="6" t="s">
        <v>47</v>
      </c>
      <c r="D11" s="6">
        <f>D7/$D$9</f>
        <v>0.33333333333333331</v>
      </c>
    </row>
    <row r="12" spans="2:7" ht="19.899999999999999" customHeight="1" x14ac:dyDescent="0.25">
      <c r="B12" s="4"/>
      <c r="C12" s="7" t="s">
        <v>66</v>
      </c>
      <c r="D12" s="7">
        <f>D8/$D$9</f>
        <v>0.33333333333333331</v>
      </c>
    </row>
    <row r="13" spans="2:7" ht="19.899999999999999" customHeight="1" x14ac:dyDescent="0.25">
      <c r="B13" s="4" t="s">
        <v>80</v>
      </c>
      <c r="C13" s="5" t="s">
        <v>9</v>
      </c>
      <c r="D13" s="9">
        <f>D10</f>
        <v>0.33333333333333331</v>
      </c>
    </row>
    <row r="14" spans="2:7" ht="19.899999999999999" customHeight="1" x14ac:dyDescent="0.25">
      <c r="B14" s="4"/>
      <c r="C14" s="6" t="s">
        <v>47</v>
      </c>
      <c r="D14" s="10">
        <f>D11</f>
        <v>0.33333333333333331</v>
      </c>
    </row>
    <row r="15" spans="2:7" ht="19.899999999999999" customHeight="1" x14ac:dyDescent="0.25">
      <c r="B15" s="4"/>
      <c r="C15" s="7" t="s">
        <v>66</v>
      </c>
      <c r="D15" s="11">
        <f>D12</f>
        <v>0.33333333333333331</v>
      </c>
    </row>
    <row r="16" spans="2:7" x14ac:dyDescent="0.25">
      <c r="B16" s="4" t="s">
        <v>86</v>
      </c>
      <c r="C16" s="8" t="str" cm="1">
        <f t="array" ref="C16:C19">TRANSPOSE(iris!$A$1:'iris'!$D$1)</f>
        <v>Sepal.Length</v>
      </c>
      <c r="D16" s="8">
        <f>(AVERAGE(iris!A2:A151))</f>
        <v>5.4705882352941178</v>
      </c>
      <c r="E16" s="15" t="s">
        <v>82</v>
      </c>
    </row>
    <row r="17" spans="2:5" x14ac:dyDescent="0.25">
      <c r="B17" s="4"/>
      <c r="C17" s="8" t="str">
        <v>Sepal.Width</v>
      </c>
      <c r="D17" s="8">
        <f>(AVERAGE(iris!B2:B151))</f>
        <v>3</v>
      </c>
      <c r="E17" s="15"/>
    </row>
    <row r="18" spans="2:5" x14ac:dyDescent="0.25">
      <c r="B18" s="4"/>
      <c r="C18" s="8" t="str">
        <v>Petal.Length</v>
      </c>
      <c r="D18" s="8">
        <f>(AVERAGE(iris!C2:C151))</f>
        <v>4.3076923076923075</v>
      </c>
      <c r="E18" s="15"/>
    </row>
    <row r="19" spans="2:5" x14ac:dyDescent="0.25">
      <c r="B19" s="4"/>
      <c r="C19" s="8" t="str">
        <v>Petal.Width</v>
      </c>
      <c r="D19" s="8">
        <f>(AVERAGE(iris!D2:D151))</f>
        <v>1.4615384615384615</v>
      </c>
      <c r="E19" s="15"/>
    </row>
    <row r="20" spans="2:5" x14ac:dyDescent="0.25">
      <c r="B20" s="18" t="s">
        <v>81</v>
      </c>
      <c r="C20" s="8"/>
      <c r="D20" s="8">
        <f>AVERAGEIF(iris!E2:E151,"setosa",iris!C2:C151)</f>
        <v>1</v>
      </c>
      <c r="E20" s="17"/>
    </row>
    <row r="21" spans="2:5" x14ac:dyDescent="0.25">
      <c r="B21" s="19"/>
      <c r="C21" s="8"/>
      <c r="D21" s="8">
        <f>AVERAGEIF(iris!E2:E151,"versicolor",iris!C2:C151)</f>
        <v>4</v>
      </c>
      <c r="E21" s="17"/>
    </row>
    <row r="22" spans="2:5" x14ac:dyDescent="0.25">
      <c r="B22" s="20"/>
      <c r="C22" s="8"/>
      <c r="D22" s="8">
        <f>AVERAGEIF(iris!E2:E151,"virginica",iris!C2:C151)</f>
        <v>5.4</v>
      </c>
      <c r="E22" s="17"/>
    </row>
    <row r="23" spans="2:5" x14ac:dyDescent="0.25">
      <c r="B23" s="4" t="s">
        <v>87</v>
      </c>
      <c r="C23" s="8" t="str" cm="1">
        <f t="array" ref="C23:C26">TRANSPOSE(iris!$A$1:'iris'!$D$1)</f>
        <v>Sepal.Length</v>
      </c>
      <c r="D23" s="8">
        <f>(MEDIAN(iris!A2:A151))</f>
        <v>5</v>
      </c>
      <c r="E23" s="15" t="s">
        <v>83</v>
      </c>
    </row>
    <row r="24" spans="2:5" x14ac:dyDescent="0.25">
      <c r="B24" s="4"/>
      <c r="C24" s="8" t="str">
        <v>Sepal.Width</v>
      </c>
      <c r="D24" s="8">
        <f>(MEDIAN(iris!B2:B151))</f>
        <v>3</v>
      </c>
      <c r="E24" s="15"/>
    </row>
    <row r="25" spans="2:5" x14ac:dyDescent="0.25">
      <c r="B25" s="4"/>
      <c r="C25" s="8" t="str">
        <v>Petal.Length</v>
      </c>
      <c r="D25" s="8">
        <f>(MEDIAN(iris!C2:C151))</f>
        <v>4</v>
      </c>
      <c r="E25" s="15"/>
    </row>
    <row r="26" spans="2:5" x14ac:dyDescent="0.25">
      <c r="B26" s="4"/>
      <c r="C26" s="8" t="str">
        <v>Petal.Width</v>
      </c>
      <c r="D26" s="8">
        <f>(MEDIAN(iris!D2:D151))</f>
        <v>1</v>
      </c>
      <c r="E26" s="15"/>
    </row>
    <row r="27" spans="2:5" x14ac:dyDescent="0.25">
      <c r="B27" s="13"/>
      <c r="C27" s="8"/>
      <c r="D27" s="8"/>
      <c r="E27" s="17"/>
    </row>
    <row r="28" spans="2:5" x14ac:dyDescent="0.25">
      <c r="B28" s="13"/>
      <c r="C28" s="8"/>
      <c r="D28" s="8"/>
      <c r="E28" s="17"/>
    </row>
    <row r="29" spans="2:5" x14ac:dyDescent="0.25">
      <c r="B29" s="13"/>
      <c r="C29" s="8"/>
      <c r="D29" s="8"/>
      <c r="E29" s="17"/>
    </row>
    <row r="30" spans="2:5" x14ac:dyDescent="0.25">
      <c r="B30" s="13"/>
      <c r="C30" s="8"/>
      <c r="D30" s="8"/>
      <c r="E30" s="17"/>
    </row>
    <row r="31" spans="2:5" x14ac:dyDescent="0.25">
      <c r="B31" s="4" t="s">
        <v>88</v>
      </c>
      <c r="C31" s="8" t="str" cm="1">
        <f t="array" ref="C31:C34">TRANSPOSE(iris!$A$1:'iris'!$D$1)</f>
        <v>Sepal.Length</v>
      </c>
      <c r="D31" s="8">
        <f>(_xlfn.STDEV.S(iris!A2:A151))</f>
        <v>0.62426427284679842</v>
      </c>
      <c r="E31" s="14" t="s">
        <v>84</v>
      </c>
    </row>
    <row r="32" spans="2:5" x14ac:dyDescent="0.25">
      <c r="B32" s="4"/>
      <c r="C32" s="8" t="str">
        <v>Sepal.Width</v>
      </c>
      <c r="D32" s="8">
        <f>(_xlfn.STDEV.S(iris!B2:B151))</f>
        <v>0.27216552697590868</v>
      </c>
      <c r="E32" s="14"/>
    </row>
    <row r="33" spans="2:5" x14ac:dyDescent="0.25">
      <c r="B33" s="4"/>
      <c r="C33" s="8" t="str">
        <v>Petal.Length</v>
      </c>
      <c r="D33" s="8">
        <f>(_xlfn.STDEV.S(iris!C2:C151))</f>
        <v>1.315587028960544</v>
      </c>
      <c r="E33" s="14"/>
    </row>
    <row r="34" spans="2:5" x14ac:dyDescent="0.25">
      <c r="B34" s="4"/>
      <c r="C34" s="8" t="str">
        <v>Petal.Width</v>
      </c>
      <c r="D34" s="8">
        <f>(_xlfn.STDEV.S(iris!D2:D151))</f>
        <v>0.5188745216627707</v>
      </c>
      <c r="E34" s="14"/>
    </row>
    <row r="35" spans="2:5" x14ac:dyDescent="0.25">
      <c r="B35" s="4" t="s">
        <v>89</v>
      </c>
      <c r="C35" s="8" t="str" cm="1">
        <f t="array" ref="C35:C38">TRANSPOSE(iris!$A$1:'iris'!$D$1)</f>
        <v>Sepal.Length</v>
      </c>
      <c r="D35" s="8">
        <f>(_xlfn.VAR.S(iris!A2:A151))</f>
        <v>0.38970588235294201</v>
      </c>
      <c r="E35" s="14" t="s">
        <v>85</v>
      </c>
    </row>
    <row r="36" spans="2:5" x14ac:dyDescent="0.25">
      <c r="B36" s="4"/>
      <c r="C36" s="8" t="str">
        <v>Sepal.Width</v>
      </c>
      <c r="D36" s="8">
        <f>(_xlfn.VAR.S(iris!B2:B151))</f>
        <v>7.407407407407407E-2</v>
      </c>
      <c r="E36" s="14"/>
    </row>
    <row r="37" spans="2:5" x14ac:dyDescent="0.25">
      <c r="B37" s="4"/>
      <c r="C37" s="8" t="str">
        <v>Petal.Length</v>
      </c>
      <c r="D37" s="8">
        <f>(_xlfn.VAR.S(iris!C2:C151))</f>
        <v>1.7307692307692311</v>
      </c>
      <c r="E37" s="14"/>
    </row>
    <row r="38" spans="2:5" x14ac:dyDescent="0.25">
      <c r="B38" s="4"/>
      <c r="C38" s="8" t="str">
        <v>Petal.Width</v>
      </c>
      <c r="D38" s="8">
        <f>(_xlfn.VAR.S(iris!D2:D151))</f>
        <v>0.26923076923076916</v>
      </c>
      <c r="E38" s="14"/>
    </row>
  </sheetData>
  <mergeCells count="15">
    <mergeCell ref="B35:B38"/>
    <mergeCell ref="E16:E19"/>
    <mergeCell ref="E23:E26"/>
    <mergeCell ref="E31:E34"/>
    <mergeCell ref="E35:E38"/>
    <mergeCell ref="B20:B22"/>
    <mergeCell ref="B13:B15"/>
    <mergeCell ref="B16:B19"/>
    <mergeCell ref="B23:B26"/>
    <mergeCell ref="B31:B34"/>
    <mergeCell ref="B2:D2"/>
    <mergeCell ref="B3:C5"/>
    <mergeCell ref="B6:B8"/>
    <mergeCell ref="B9:C9"/>
    <mergeCell ref="B10:B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</vt:lpstr>
      <vt:lpstr>Análise do Dataset Iris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Muchon Pavanelli</dc:creator>
  <cp:lastModifiedBy>Gabriel Muchon Pavanelli</cp:lastModifiedBy>
  <dcterms:created xsi:type="dcterms:W3CDTF">2026-03-08T21:34:37Z</dcterms:created>
  <dcterms:modified xsi:type="dcterms:W3CDTF">2026-03-10T02:40:12Z</dcterms:modified>
</cp:coreProperties>
</file>